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6535\Downloads\"/>
    </mc:Choice>
  </mc:AlternateContent>
  <bookViews>
    <workbookView xWindow="0" yWindow="0" windowWidth="19170" windowHeight="7560"/>
  </bookViews>
  <sheets>
    <sheet name="1-year" sheetId="1" r:id="rId1"/>
    <sheet name="5-year" sheetId="2" r:id="rId2"/>
  </sheets>
  <calcPr calcId="162913"/>
  <fileRecoveryPr repairLoad="1"/>
</workbook>
</file>

<file path=xl/calcChain.xml><?xml version="1.0" encoding="utf-8"?>
<calcChain xmlns="http://schemas.openxmlformats.org/spreadsheetml/2006/main">
  <c r="E9" i="2" l="1"/>
  <c r="F9" i="2"/>
  <c r="E10" i="2"/>
  <c r="F10" i="2"/>
  <c r="E2" i="1" l="1"/>
  <c r="F2" i="1"/>
  <c r="E3" i="1"/>
  <c r="F3" i="1"/>
  <c r="E4" i="1"/>
  <c r="F4" i="1"/>
  <c r="F8" i="2" l="1"/>
  <c r="E8" i="2"/>
  <c r="F7" i="2"/>
  <c r="E7" i="2"/>
  <c r="F6" i="2"/>
  <c r="E6" i="2"/>
  <c r="F5" i="2"/>
  <c r="E5" i="2"/>
  <c r="F4" i="2"/>
  <c r="E4" i="2"/>
  <c r="F3" i="2"/>
  <c r="E3" i="2"/>
  <c r="F2" i="2"/>
  <c r="E2" i="2"/>
  <c r="F13" i="1"/>
  <c r="E13" i="1"/>
  <c r="F12" i="1"/>
  <c r="E12" i="1"/>
  <c r="F11" i="1"/>
  <c r="E11" i="1"/>
  <c r="F10" i="1"/>
  <c r="E10" i="1"/>
  <c r="F9" i="1"/>
  <c r="E9" i="1"/>
  <c r="F8" i="1"/>
  <c r="E8" i="1"/>
  <c r="F7" i="1"/>
  <c r="E7" i="1"/>
  <c r="F6" i="1"/>
  <c r="E6" i="1"/>
  <c r="F5" i="1"/>
  <c r="E5" i="1"/>
</calcChain>
</file>

<file path=xl/sharedStrings.xml><?xml version="1.0" encoding="utf-8"?>
<sst xmlns="http://schemas.openxmlformats.org/spreadsheetml/2006/main" count="35" uniqueCount="9">
  <si>
    <t>Span</t>
  </si>
  <si>
    <t>Year(s)</t>
  </si>
  <si>
    <t>Rate</t>
  </si>
  <si>
    <t>Margin of error</t>
  </si>
  <si>
    <t>Lower bound</t>
  </si>
  <si>
    <t>Upper bound</t>
  </si>
  <si>
    <t>1-year</t>
  </si>
  <si>
    <t>NA</t>
  </si>
  <si>
    <t>5-year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</si>
</sst>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5">
    <font>
      <sz val="10"/>
      <color rgb="FF000000"/>
      <name val="Arial"/>
      <scheme val="minor"/>
    </font>
    <font>
      <sz val="11"/>
      <color rgb="FF000000"/>
      <name val="Roboto"/>
    </font>
    <font>
      <sz val="11"/>
      <color theme="1"/>
      <name val="Roboto"/>
    </font>
    <font>
      <sz val="11"/>
      <color rgb="FF1F1F1F"/>
      <name val="Roboto"/>
    </font>
    <font>
      <sz val="10"/>
      <color rgb="FF000000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2">
    <xf numFmtId="0" fontId="0" fillId="0" borderId="0" xfId="0" applyFont="1" applyAlignment="1"/>
    <xf numFmtId="0" fontId="1" fillId="0" borderId="1" xfId="0" applyFont="1" applyBorder="1" applyAlignment="1">
      <alignment horizontal="left" wrapText="1"/>
    </xf>
    <xf numFmtId="0" fontId="2" fillId="0" borderId="0" xfId="0" applyFont="1" applyAlignment="1"/>
    <xf numFmtId="0" fontId="1" fillId="0" borderId="0" xfId="0" applyFont="1" applyAlignment="1">
      <alignment horizontal="left" wrapText="1"/>
    </xf>
    <xf numFmtId="164" fontId="1" fillId="0" borderId="0" xfId="0" applyNumberFormat="1" applyFont="1" applyAlignment="1">
      <alignment horizontal="right" wrapText="1"/>
    </xf>
    <xf numFmtId="164" fontId="3" fillId="2" borderId="0" xfId="0" applyNumberFormat="1" applyFont="1" applyFill="1" applyAlignment="1">
      <alignment horizontal="right"/>
    </xf>
    <xf numFmtId="0" fontId="1" fillId="0" borderId="0" xfId="0" applyFont="1" applyBorder="1" applyAlignment="1">
      <alignment horizontal="left" wrapText="1"/>
    </xf>
    <xf numFmtId="164" fontId="1" fillId="0" borderId="0" xfId="1" applyNumberFormat="1" applyFont="1" applyAlignment="1">
      <alignment horizontal="right" wrapText="1"/>
    </xf>
    <xf numFmtId="164" fontId="3" fillId="2" borderId="0" xfId="1" applyNumberFormat="1" applyFont="1" applyFill="1" applyAlignment="1">
      <alignment horizontal="right"/>
    </xf>
    <xf numFmtId="164" fontId="2" fillId="0" borderId="0" xfId="1" applyNumberFormat="1" applyFont="1" applyAlignment="1">
      <alignment horizontal="right"/>
    </xf>
    <xf numFmtId="164" fontId="1" fillId="0" borderId="0" xfId="1" applyNumberFormat="1" applyFont="1" applyBorder="1" applyAlignment="1">
      <alignment horizontal="right" wrapText="1"/>
    </xf>
    <xf numFmtId="10" fontId="0" fillId="0" borderId="0" xfId="0" applyNumberFormat="1" applyFont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Roanoke Rental Vacancy Rates, ACS </a:t>
            </a:r>
            <a:r>
              <a:rPr lang="en-US" sz="1400" b="0" i="0" u="none" strike="noStrike" baseline="0">
                <a:effectLst/>
              </a:rPr>
              <a:t>1-year </a:t>
            </a:r>
            <a:r>
              <a:rPr lang="en-US"/>
              <a:t> estimates (2013 - 2021)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'1-year'!$C$1</c:f>
              <c:strCache>
                <c:ptCount val="1"/>
                <c:pt idx="0">
                  <c:v>Rate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x"/>
            <c:errBarType val="both"/>
            <c:errValType val="cust"/>
            <c:noEndCap val="0"/>
            <c:plus>
              <c:numRef>
                <c:f>'1-year'!$D$1:$D$13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0.03</c:v>
                  </c:pt>
                  <c:pt idx="2">
                    <c:v>2.4E-2</c:v>
                  </c:pt>
                  <c:pt idx="3">
                    <c:v>0.04</c:v>
                  </c:pt>
                  <c:pt idx="4">
                    <c:v>4.7E-2</c:v>
                  </c:pt>
                  <c:pt idx="5">
                    <c:v>4.1000000000000002E-2</c:v>
                  </c:pt>
                  <c:pt idx="6">
                    <c:v>3.5999999999999997E-2</c:v>
                  </c:pt>
                  <c:pt idx="7">
                    <c:v>3.7999999999999999E-2</c:v>
                  </c:pt>
                  <c:pt idx="8">
                    <c:v>4.7E-2</c:v>
                  </c:pt>
                  <c:pt idx="9">
                    <c:v>2.3E-2</c:v>
                  </c:pt>
                </c:numCache>
              </c:numRef>
            </c:plus>
            <c:minus>
              <c:numRef>
                <c:f>'1-year'!$D$1:$D$13</c:f>
                <c:numCache>
                  <c:formatCode>General</c:formatCode>
                  <c:ptCount val="10"/>
                  <c:pt idx="0">
                    <c:v>0</c:v>
                  </c:pt>
                  <c:pt idx="1">
                    <c:v>0.03</c:v>
                  </c:pt>
                  <c:pt idx="2">
                    <c:v>2.4E-2</c:v>
                  </c:pt>
                  <c:pt idx="3">
                    <c:v>0.04</c:v>
                  </c:pt>
                  <c:pt idx="4">
                    <c:v>4.7E-2</c:v>
                  </c:pt>
                  <c:pt idx="5">
                    <c:v>4.1000000000000002E-2</c:v>
                  </c:pt>
                  <c:pt idx="6">
                    <c:v>3.5999999999999997E-2</c:v>
                  </c:pt>
                  <c:pt idx="7">
                    <c:v>3.7999999999999999E-2</c:v>
                  </c:pt>
                  <c:pt idx="8">
                    <c:v>4.7E-2</c:v>
                  </c:pt>
                  <c:pt idx="9">
                    <c:v>2.3E-2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errBars>
            <c:errDir val="y"/>
            <c:errBarType val="both"/>
            <c:errValType val="cust"/>
            <c:noEndCap val="0"/>
            <c:plus>
              <c:numRef>
                <c:f>'1-year'!$D$2:$D$13</c:f>
                <c:numCache>
                  <c:formatCode>General</c:formatCode>
                  <c:ptCount val="9"/>
                  <c:pt idx="0">
                    <c:v>0.03</c:v>
                  </c:pt>
                  <c:pt idx="1">
                    <c:v>2.4E-2</c:v>
                  </c:pt>
                  <c:pt idx="2">
                    <c:v>0.04</c:v>
                  </c:pt>
                  <c:pt idx="3">
                    <c:v>4.7E-2</c:v>
                  </c:pt>
                  <c:pt idx="4">
                    <c:v>4.1000000000000002E-2</c:v>
                  </c:pt>
                  <c:pt idx="5">
                    <c:v>3.5999999999999997E-2</c:v>
                  </c:pt>
                  <c:pt idx="6">
                    <c:v>3.7999999999999999E-2</c:v>
                  </c:pt>
                  <c:pt idx="7">
                    <c:v>4.7E-2</c:v>
                  </c:pt>
                  <c:pt idx="8">
                    <c:v>2.3E-2</c:v>
                  </c:pt>
                </c:numCache>
              </c:numRef>
            </c:plus>
            <c:minus>
              <c:numRef>
                <c:f>'1-year'!$D$2:$D$13</c:f>
                <c:numCache>
                  <c:formatCode>General</c:formatCode>
                  <c:ptCount val="9"/>
                  <c:pt idx="0">
                    <c:v>0.03</c:v>
                  </c:pt>
                  <c:pt idx="1">
                    <c:v>2.4E-2</c:v>
                  </c:pt>
                  <c:pt idx="2">
                    <c:v>0.04</c:v>
                  </c:pt>
                  <c:pt idx="3">
                    <c:v>4.7E-2</c:v>
                  </c:pt>
                  <c:pt idx="4">
                    <c:v>4.1000000000000002E-2</c:v>
                  </c:pt>
                  <c:pt idx="5">
                    <c:v>3.5999999999999997E-2</c:v>
                  </c:pt>
                  <c:pt idx="6">
                    <c:v>3.7999999999999999E-2</c:v>
                  </c:pt>
                  <c:pt idx="7">
                    <c:v>4.7E-2</c:v>
                  </c:pt>
                  <c:pt idx="8">
                    <c:v>2.3E-2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'1-year'!$B$2:$B$13</c:f>
              <c:numCache>
                <c:formatCode>General</c:formatCode>
                <c:ptCount val="9"/>
                <c:pt idx="0">
                  <c:v>2013</c:v>
                </c:pt>
                <c:pt idx="1">
                  <c:v>2014</c:v>
                </c:pt>
                <c:pt idx="2">
                  <c:v>2015</c:v>
                </c:pt>
                <c:pt idx="3">
                  <c:v>2016</c:v>
                </c:pt>
                <c:pt idx="4">
                  <c:v>2017</c:v>
                </c:pt>
                <c:pt idx="5">
                  <c:v>2018</c:v>
                </c:pt>
                <c:pt idx="6">
                  <c:v>2019</c:v>
                </c:pt>
                <c:pt idx="7">
                  <c:v>2021</c:v>
                </c:pt>
                <c:pt idx="8">
                  <c:v>2022</c:v>
                </c:pt>
              </c:numCache>
            </c:numRef>
          </c:xVal>
          <c:yVal>
            <c:numRef>
              <c:f>'1-year'!$C$2:$C$13</c:f>
              <c:numCache>
                <c:formatCode>0.0%</c:formatCode>
                <c:ptCount val="9"/>
                <c:pt idx="0">
                  <c:v>3.9E-2</c:v>
                </c:pt>
                <c:pt idx="1">
                  <c:v>0.05</c:v>
                </c:pt>
                <c:pt idx="2">
                  <c:v>0.106</c:v>
                </c:pt>
                <c:pt idx="3">
                  <c:v>0.105</c:v>
                </c:pt>
                <c:pt idx="4">
                  <c:v>0.1</c:v>
                </c:pt>
                <c:pt idx="5">
                  <c:v>8.3000000000000004E-2</c:v>
                </c:pt>
                <c:pt idx="6">
                  <c:v>9.6000000000000002E-2</c:v>
                </c:pt>
                <c:pt idx="7">
                  <c:v>0.108</c:v>
                </c:pt>
                <c:pt idx="8">
                  <c:v>3.4000000000000002E-2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73-4D91-9193-85335790B5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8607544"/>
        <c:axId val="258608200"/>
      </c:scatterChart>
      <c:valAx>
        <c:axId val="258607544"/>
        <c:scaling>
          <c:orientation val="minMax"/>
          <c:max val="2023"/>
          <c:min val="201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08200"/>
        <c:crosses val="autoZero"/>
        <c:crossBetween val="midCat"/>
      </c:valAx>
      <c:valAx>
        <c:axId val="258608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5860754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l"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Roanoke Rental Vacancy Rates, ACS </a:t>
            </a:r>
            <a:r>
              <a:rPr lang="en-US" sz="1400" b="0" i="0" u="none" strike="noStrike" baseline="0">
                <a:effectLst/>
              </a:rPr>
              <a:t>5-year </a:t>
            </a:r>
            <a:r>
              <a:rPr lang="en-US"/>
              <a:t> estimates (2012-2016</a:t>
            </a:r>
            <a:r>
              <a:rPr lang="en-US" baseline="0"/>
              <a:t> to 2017-2021)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l"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'5-year'!$C$1</c:f>
              <c:strCache>
                <c:ptCount val="1"/>
                <c:pt idx="0">
                  <c:v>Rate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errBars>
            <c:errDir val="y"/>
            <c:errBarType val="both"/>
            <c:errValType val="cust"/>
            <c:noEndCap val="0"/>
            <c:plus>
              <c:numRef>
                <c:f>'5-year'!$D$2:$D$10</c:f>
                <c:numCache>
                  <c:formatCode>General</c:formatCode>
                  <c:ptCount val="2"/>
                  <c:pt idx="0">
                    <c:v>1.4999999999999999E-2</c:v>
                  </c:pt>
                  <c:pt idx="1">
                    <c:v>1.7000000000000001E-2</c:v>
                  </c:pt>
                </c:numCache>
              </c:numRef>
            </c:plus>
            <c:minus>
              <c:numRef>
                <c:f>'5-year'!$D$2:$D$10</c:f>
                <c:numCache>
                  <c:formatCode>General</c:formatCode>
                  <c:ptCount val="2"/>
                  <c:pt idx="0">
                    <c:v>1.4999999999999999E-2</c:v>
                  </c:pt>
                  <c:pt idx="1">
                    <c:v>1.7000000000000001E-2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'5-year'!$B$2:$B$10</c:f>
              <c:numCache>
                <c:formatCode>General</c:formatCode>
                <c:ptCount val="2"/>
                <c:pt idx="0">
                  <c:v>2017</c:v>
                </c:pt>
                <c:pt idx="1">
                  <c:v>2022</c:v>
                </c:pt>
              </c:numCache>
            </c:numRef>
          </c:cat>
          <c:val>
            <c:numRef>
              <c:f>'5-year'!$C$2:$C$10</c:f>
              <c:numCache>
                <c:formatCode>0.0%</c:formatCode>
                <c:ptCount val="2"/>
                <c:pt idx="0">
                  <c:v>8.1000000000000003E-2</c:v>
                </c:pt>
                <c:pt idx="1">
                  <c:v>0.09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858-4405-B4E0-2F7C349F1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189240"/>
        <c:axId val="458185960"/>
      </c:lineChart>
      <c:catAx>
        <c:axId val="4581892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85960"/>
        <c:crosses val="autoZero"/>
        <c:auto val="1"/>
        <c:lblAlgn val="ctr"/>
        <c:lblOffset val="100"/>
        <c:noMultiLvlLbl val="0"/>
      </c:catAx>
      <c:valAx>
        <c:axId val="458185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892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95250</xdr:colOff>
      <xdr:row>15</xdr:row>
      <xdr:rowOff>152406</xdr:rowOff>
    </xdr:from>
    <xdr:to>
      <xdr:col>8</xdr:col>
      <xdr:colOff>476250</xdr:colOff>
      <xdr:row>29</xdr:row>
      <xdr:rowOff>95256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238125</xdr:colOff>
      <xdr:row>12</xdr:row>
      <xdr:rowOff>19056</xdr:rowOff>
    </xdr:from>
    <xdr:to>
      <xdr:col>13</xdr:col>
      <xdr:colOff>619125</xdr:colOff>
      <xdr:row>24</xdr:row>
      <xdr:rowOff>142881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3"/>
  <sheetViews>
    <sheetView tabSelected="1" workbookViewId="0">
      <pane ySplit="1" topLeftCell="A2" activePane="bottomLeft" state="frozen"/>
      <selection pane="bottomLeft" activeCell="L21" sqref="L21"/>
    </sheetView>
  </sheetViews>
  <sheetFormatPr defaultColWidth="12.5703125" defaultRowHeight="15.75" customHeight="1"/>
  <sheetData>
    <row r="1" spans="1:6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4.25" hidden="1">
      <c r="A2" s="6" t="s">
        <v>6</v>
      </c>
      <c r="B2" s="6">
        <v>2011</v>
      </c>
      <c r="C2" s="10">
        <v>5.0999999999999997E-2</v>
      </c>
      <c r="D2" s="10">
        <v>3.5999999999999997E-2</v>
      </c>
      <c r="E2" s="7">
        <f>C2-D2</f>
        <v>1.4999999999999999E-2</v>
      </c>
      <c r="F2" s="8">
        <f>C2+D2</f>
        <v>8.6999999999999994E-2</v>
      </c>
    </row>
    <row r="3" spans="1:6" ht="14.25" hidden="1">
      <c r="A3" s="6" t="s">
        <v>6</v>
      </c>
      <c r="B3" s="6">
        <v>2012</v>
      </c>
      <c r="C3" s="10">
        <v>6.3E-2</v>
      </c>
      <c r="D3" s="10">
        <v>0.03</v>
      </c>
      <c r="E3" s="7">
        <f>C3-D3</f>
        <v>3.3000000000000002E-2</v>
      </c>
      <c r="F3" s="8">
        <f>C3+D3</f>
        <v>9.2999999999999999E-2</v>
      </c>
    </row>
    <row r="4" spans="1:6" ht="14.25">
      <c r="A4" s="6" t="s">
        <v>6</v>
      </c>
      <c r="B4" s="6">
        <v>2013</v>
      </c>
      <c r="C4" s="10">
        <v>3.9E-2</v>
      </c>
      <c r="D4" s="10">
        <v>0.03</v>
      </c>
      <c r="E4" s="7">
        <f>C4-D4</f>
        <v>9.0000000000000011E-3</v>
      </c>
      <c r="F4" s="8">
        <f>C4+D4</f>
        <v>6.9000000000000006E-2</v>
      </c>
    </row>
    <row r="5" spans="1:6" ht="14.25">
      <c r="A5" s="3" t="s">
        <v>6</v>
      </c>
      <c r="B5" s="3">
        <v>2014</v>
      </c>
      <c r="C5" s="9">
        <v>0.05</v>
      </c>
      <c r="D5" s="9">
        <v>2.4E-2</v>
      </c>
      <c r="E5" s="7">
        <f t="shared" ref="E5:E13" si="0">C5-D5</f>
        <v>2.6000000000000002E-2</v>
      </c>
      <c r="F5" s="8">
        <f t="shared" ref="F5:F13" si="1">C5+D5</f>
        <v>7.400000000000001E-2</v>
      </c>
    </row>
    <row r="6" spans="1:6" ht="14.25">
      <c r="A6" s="3" t="s">
        <v>6</v>
      </c>
      <c r="B6" s="3">
        <v>2015</v>
      </c>
      <c r="C6" s="9">
        <v>0.106</v>
      </c>
      <c r="D6" s="9">
        <v>0.04</v>
      </c>
      <c r="E6" s="7">
        <f t="shared" si="0"/>
        <v>6.6000000000000003E-2</v>
      </c>
      <c r="F6" s="8">
        <f t="shared" si="1"/>
        <v>0.14599999999999999</v>
      </c>
    </row>
    <row r="7" spans="1:6" ht="14.25">
      <c r="A7" s="3" t="s">
        <v>6</v>
      </c>
      <c r="B7" s="3">
        <v>2016</v>
      </c>
      <c r="C7" s="9">
        <v>0.105</v>
      </c>
      <c r="D7" s="9">
        <v>4.7E-2</v>
      </c>
      <c r="E7" s="7">
        <f t="shared" si="0"/>
        <v>5.7999999999999996E-2</v>
      </c>
      <c r="F7" s="8">
        <f t="shared" si="1"/>
        <v>0.152</v>
      </c>
    </row>
    <row r="8" spans="1:6" ht="14.25">
      <c r="A8" s="3" t="s">
        <v>6</v>
      </c>
      <c r="B8" s="3">
        <v>2017</v>
      </c>
      <c r="C8" s="9">
        <v>0.1</v>
      </c>
      <c r="D8" s="9">
        <v>4.1000000000000002E-2</v>
      </c>
      <c r="E8" s="7">
        <f t="shared" si="0"/>
        <v>5.9000000000000004E-2</v>
      </c>
      <c r="F8" s="8">
        <f t="shared" si="1"/>
        <v>0.14100000000000001</v>
      </c>
    </row>
    <row r="9" spans="1:6" ht="14.25">
      <c r="A9" s="3" t="s">
        <v>6</v>
      </c>
      <c r="B9" s="3">
        <v>2018</v>
      </c>
      <c r="C9" s="7">
        <v>8.3000000000000004E-2</v>
      </c>
      <c r="D9" s="7">
        <v>3.5999999999999997E-2</v>
      </c>
      <c r="E9" s="7">
        <f t="shared" si="0"/>
        <v>4.7000000000000007E-2</v>
      </c>
      <c r="F9" s="8">
        <f t="shared" si="1"/>
        <v>0.11899999999999999</v>
      </c>
    </row>
    <row r="10" spans="1:6" ht="14.25">
      <c r="A10" s="3" t="s">
        <v>6</v>
      </c>
      <c r="B10" s="3">
        <v>2019</v>
      </c>
      <c r="C10" s="7">
        <v>9.6000000000000002E-2</v>
      </c>
      <c r="D10" s="7">
        <v>3.7999999999999999E-2</v>
      </c>
      <c r="E10" s="7">
        <f t="shared" si="0"/>
        <v>5.8000000000000003E-2</v>
      </c>
      <c r="F10" s="8">
        <f t="shared" si="1"/>
        <v>0.13400000000000001</v>
      </c>
    </row>
    <row r="11" spans="1:6" ht="14.25" hidden="1">
      <c r="A11" s="3" t="s">
        <v>6</v>
      </c>
      <c r="B11" s="3">
        <v>2020</v>
      </c>
      <c r="C11" s="7" t="s">
        <v>7</v>
      </c>
      <c r="D11" s="7" t="s">
        <v>7</v>
      </c>
      <c r="E11" s="7" t="e">
        <f t="shared" si="0"/>
        <v>#VALUE!</v>
      </c>
      <c r="F11" s="8" t="e">
        <f t="shared" si="1"/>
        <v>#VALUE!</v>
      </c>
    </row>
    <row r="12" spans="1:6" ht="14.25">
      <c r="A12" s="3" t="s">
        <v>6</v>
      </c>
      <c r="B12" s="3">
        <v>2021</v>
      </c>
      <c r="C12" s="7">
        <v>0.108</v>
      </c>
      <c r="D12" s="7">
        <v>4.7E-2</v>
      </c>
      <c r="E12" s="7">
        <f t="shared" si="0"/>
        <v>6.0999999999999999E-2</v>
      </c>
      <c r="F12" s="8">
        <f t="shared" si="1"/>
        <v>0.155</v>
      </c>
    </row>
    <row r="13" spans="1:6" ht="14.25">
      <c r="A13" s="3" t="s">
        <v>6</v>
      </c>
      <c r="B13" s="3">
        <v>2022</v>
      </c>
      <c r="C13" s="7">
        <v>3.4000000000000002E-2</v>
      </c>
      <c r="D13" s="7">
        <v>2.3E-2</v>
      </c>
      <c r="E13" s="7">
        <f t="shared" si="0"/>
        <v>1.1000000000000003E-2</v>
      </c>
      <c r="F13" s="8">
        <f t="shared" si="1"/>
        <v>5.7000000000000002E-2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10"/>
  <sheetViews>
    <sheetView workbookViewId="0">
      <pane ySplit="1" topLeftCell="A13" activePane="bottomLeft" state="frozen"/>
      <selection pane="bottomLeft" activeCell="A4" sqref="A4:XFD4"/>
    </sheetView>
  </sheetViews>
  <sheetFormatPr defaultColWidth="12.5703125" defaultRowHeight="15.75" customHeight="1"/>
  <sheetData>
    <row r="1" spans="1:6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ht="14.25" hidden="1">
      <c r="A2" s="3" t="s">
        <v>8</v>
      </c>
      <c r="B2" s="3">
        <v>2014</v>
      </c>
      <c r="C2" s="4">
        <v>0.05</v>
      </c>
      <c r="D2" s="4">
        <v>1.2999999999999999E-2</v>
      </c>
      <c r="E2" s="4">
        <f t="shared" ref="E2:E8" si="0">C2-D2</f>
        <v>3.7000000000000005E-2</v>
      </c>
      <c r="F2" s="5">
        <f t="shared" ref="F2:F8" si="1">C2+D2</f>
        <v>6.3E-2</v>
      </c>
    </row>
    <row r="3" spans="1:6" ht="14.25" hidden="1">
      <c r="A3" s="3" t="s">
        <v>8</v>
      </c>
      <c r="B3" s="3">
        <v>2015</v>
      </c>
      <c r="C3" s="4">
        <v>6.0999999999999999E-2</v>
      </c>
      <c r="D3" s="4">
        <v>1.2999999999999999E-2</v>
      </c>
      <c r="E3" s="4">
        <f t="shared" si="0"/>
        <v>4.8000000000000001E-2</v>
      </c>
      <c r="F3" s="5">
        <f t="shared" si="1"/>
        <v>7.3999999999999996E-2</v>
      </c>
    </row>
    <row r="4" spans="1:6" ht="14.25" hidden="1">
      <c r="A4" s="3" t="s">
        <v>8</v>
      </c>
      <c r="B4" s="3">
        <v>2016</v>
      </c>
      <c r="C4" s="4">
        <v>7.0999999999999994E-2</v>
      </c>
      <c r="D4" s="4">
        <v>1.2999999999999999E-2</v>
      </c>
      <c r="E4" s="4">
        <f t="shared" si="0"/>
        <v>5.7999999999999996E-2</v>
      </c>
      <c r="F4" s="5">
        <f t="shared" si="1"/>
        <v>8.3999999999999991E-2</v>
      </c>
    </row>
    <row r="5" spans="1:6" ht="14.25">
      <c r="A5" s="3" t="s">
        <v>8</v>
      </c>
      <c r="B5" s="3">
        <v>2017</v>
      </c>
      <c r="C5" s="4">
        <v>8.1000000000000003E-2</v>
      </c>
      <c r="D5" s="4">
        <v>1.4999999999999999E-2</v>
      </c>
      <c r="E5" s="4">
        <f t="shared" si="0"/>
        <v>6.6000000000000003E-2</v>
      </c>
      <c r="F5" s="5">
        <f t="shared" si="1"/>
        <v>9.6000000000000002E-2</v>
      </c>
    </row>
    <row r="6" spans="1:6" ht="14.25" hidden="1">
      <c r="A6" s="3" t="s">
        <v>8</v>
      </c>
      <c r="B6" s="3">
        <v>2018</v>
      </c>
      <c r="C6" s="4">
        <v>8.6999999999999994E-2</v>
      </c>
      <c r="D6" s="4">
        <v>1.7999999999999999E-2</v>
      </c>
      <c r="E6" s="4">
        <f t="shared" si="0"/>
        <v>6.8999999999999992E-2</v>
      </c>
      <c r="F6" s="5">
        <f t="shared" si="1"/>
        <v>0.105</v>
      </c>
    </row>
    <row r="7" spans="1:6" ht="14.25" hidden="1" customHeight="1">
      <c r="A7" s="3" t="s">
        <v>8</v>
      </c>
      <c r="B7" s="3">
        <v>2019</v>
      </c>
      <c r="C7" s="4">
        <v>9.4E-2</v>
      </c>
      <c r="D7" s="4">
        <v>1.7999999999999999E-2</v>
      </c>
      <c r="E7" s="4">
        <f t="shared" si="0"/>
        <v>7.5999999999999998E-2</v>
      </c>
      <c r="F7" s="5">
        <f t="shared" si="1"/>
        <v>0.112</v>
      </c>
    </row>
    <row r="8" spans="1:6" ht="14.25" hidden="1" customHeight="1">
      <c r="A8" s="3" t="s">
        <v>8</v>
      </c>
      <c r="B8" s="3">
        <v>2020</v>
      </c>
      <c r="C8" s="4">
        <v>9.7000000000000003E-2</v>
      </c>
      <c r="D8" s="4">
        <v>1.9E-2</v>
      </c>
      <c r="E8" s="4">
        <f t="shared" si="0"/>
        <v>7.8E-2</v>
      </c>
      <c r="F8" s="5">
        <f t="shared" si="1"/>
        <v>0.11600000000000001</v>
      </c>
    </row>
    <row r="9" spans="1:6" ht="14.25" hidden="1">
      <c r="A9" s="3" t="s">
        <v>8</v>
      </c>
      <c r="B9" s="3">
        <v>2021</v>
      </c>
      <c r="C9" s="11">
        <v>9.9000000000000005E-2</v>
      </c>
      <c r="D9" s="11">
        <v>1.7000000000000001E-2</v>
      </c>
      <c r="E9" s="4">
        <f>C9-D9</f>
        <v>8.2000000000000003E-2</v>
      </c>
      <c r="F9" s="5">
        <f>C9+D9</f>
        <v>0.11600000000000001</v>
      </c>
    </row>
    <row r="10" spans="1:6" ht="14.25">
      <c r="A10" s="3" t="s">
        <v>8</v>
      </c>
      <c r="B10" s="3">
        <v>2022</v>
      </c>
      <c r="C10" s="4">
        <v>0.09</v>
      </c>
      <c r="D10" s="4">
        <v>1.7000000000000001E-2</v>
      </c>
      <c r="E10" s="4">
        <f>C10-D10</f>
        <v>7.2999999999999995E-2</v>
      </c>
      <c r="F10" s="5">
        <f>C10+D10</f>
        <v>0.107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1-year</vt:lpstr>
      <vt:lpstr>5-year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Hartwell, Alisa</cp:lastModifiedBy>
  <dcterms:modified xsi:type="dcterms:W3CDTF">2024-04-15T21:02:17Z</dcterms:modified>
</cp:coreProperties>
</file>